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DING\Py\"/>
    </mc:Choice>
  </mc:AlternateContent>
  <xr:revisionPtr revIDLastSave="0" documentId="13_ncr:1_{087B009D-3147-4A50-BDEA-C1AB74F90CD2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KPIs" sheetId="1" r:id="rId1"/>
    <sheet name="YearlyRevenue" sheetId="2" r:id="rId2"/>
    <sheet name="Monthly2023" sheetId="3" r:id="rId3"/>
    <sheet name="Monthly2024" sheetId="4" r:id="rId4"/>
    <sheet name="Monthly2025" sheetId="5" r:id="rId5"/>
    <sheet name="PaymentMethods" sheetId="6" r:id="rId6"/>
    <sheet name="Funnel2023" sheetId="7" r:id="rId7"/>
    <sheet name="Funnel2024" sheetId="8" r:id="rId8"/>
    <sheet name="Funnel2025" sheetId="9" r:id="rId9"/>
    <sheet name="Risk" sheetId="10" r:id="rId10"/>
    <sheet name="ChannelBreakdown" sheetId="11" r:id="rId11"/>
    <sheet name="UPISavings" sheetId="12" r:id="rId12"/>
    <sheet name="CODMitigation" sheetId="13" r:id="rId13"/>
    <sheet name="FeeRecovery" sheetId="14" r:id="rId14"/>
    <sheet name="ROIProjection" sheetId="15" r:id="rId15"/>
    <sheet name="Roadmap" sheetId="16" r:id="rId16"/>
    <sheet name="RiskPlan" sheetId="17" r:id="rId17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<sst xmlns="http://schemas.openxmlformats.org/spreadsheetml/2006/main" count="91" uniqueCount="60">
  <si>
    <t>Gross Revenue</t>
  </si>
  <si>
    <t>Net Revenue</t>
  </si>
  <si>
    <t>Avg Order Value</t>
  </si>
  <si>
    <t>Success Rate (%)</t>
  </si>
  <si>
    <t>Total Refunds</t>
  </si>
  <si>
    <t>amount_paid</t>
  </si>
  <si>
    <t>Year</t>
  </si>
  <si>
    <t>Month</t>
  </si>
  <si>
    <t>Cardless Emi</t>
  </si>
  <si>
    <t>Cash On Delivery</t>
  </si>
  <si>
    <t>Credit Card</t>
  </si>
  <si>
    <t>Debit Card</t>
  </si>
  <si>
    <t>Emi</t>
  </si>
  <si>
    <t>Gift Card</t>
  </si>
  <si>
    <t>Net Banking</t>
  </si>
  <si>
    <t>Pay Later</t>
  </si>
  <si>
    <t>Unknown</t>
  </si>
  <si>
    <t>Upi</t>
  </si>
  <si>
    <t>Wallet</t>
  </si>
  <si>
    <t>Stage</t>
  </si>
  <si>
    <t>Count</t>
  </si>
  <si>
    <t>Leads</t>
  </si>
  <si>
    <t>Orders</t>
  </si>
  <si>
    <t>Settlements</t>
  </si>
  <si>
    <t>Metric</t>
  </si>
  <si>
    <t>Value</t>
  </si>
  <si>
    <t>Refund Rate %</t>
  </si>
  <si>
    <t>sum</t>
  </si>
  <si>
    <t>count</t>
  </si>
  <si>
    <t>mean</t>
  </si>
  <si>
    <t>share_%</t>
  </si>
  <si>
    <t>payment_method</t>
  </si>
  <si>
    <t>UPI Incentive Savings</t>
  </si>
  <si>
    <t>COD Risk Mitigation</t>
  </si>
  <si>
    <t>Fee Reconciliation Recovery</t>
  </si>
  <si>
    <t>Year1</t>
  </si>
  <si>
    <t>Year2</t>
  </si>
  <si>
    <t>Year3</t>
  </si>
  <si>
    <t>Gross Margin Recovery</t>
  </si>
  <si>
    <t>Logistics Cost Savings</t>
  </si>
  <si>
    <t>Implementation Cost</t>
  </si>
  <si>
    <t>Net Benefit</t>
  </si>
  <si>
    <t>Cumulative ROI %</t>
  </si>
  <si>
    <t>Initiative</t>
  </si>
  <si>
    <t>Start</t>
  </si>
  <si>
    <t>Full Rollout</t>
  </si>
  <si>
    <t>UPI Incentives</t>
  </si>
  <si>
    <t>Fee Reconciliation</t>
  </si>
  <si>
    <t>Q1 2024</t>
  </si>
  <si>
    <t>Q2 2024</t>
  </si>
  <si>
    <t>Q3 2024</t>
  </si>
  <si>
    <t>Q4 2024</t>
  </si>
  <si>
    <t>Risk</t>
  </si>
  <si>
    <t>Mitigation</t>
  </si>
  <si>
    <t>High COD default</t>
  </si>
  <si>
    <t>Gateway fee overcharge</t>
  </si>
  <si>
    <t>UPI adoption lag</t>
  </si>
  <si>
    <t>OTP + deposit</t>
  </si>
  <si>
    <t>Automated reconciliation</t>
  </si>
  <si>
    <t>Discount 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</si>
</sst>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 Funnel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23950000000000002"/>
                  <c:y val="-1.8226888305628463E-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Not</a:t>
                    </a:r>
                    <a:r>
                      <a:rPr lang="en-US" baseline="0"/>
                      <a:t> Tracked in Dataset</a:t>
                    </a:r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1544444444444445"/>
                      <c:h val="6.4745552639253412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2-6E45-4939-B618-B7772762CC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Funnel2023!$A$2:$A$4</c:f>
              <c:strCache>
                <c:ptCount val="3"/>
                <c:pt idx="0">
                  <c:v>Leads</c:v>
                </c:pt>
                <c:pt idx="1">
                  <c:v>Orders</c:v>
                </c:pt>
                <c:pt idx="2">
                  <c:v>Settlements</c:v>
                </c:pt>
              </c:strCache>
            </c:strRef>
          </c:cat>
          <c:val>
            <c:numRef>
              <c:f>Funnel2023!$B$2:$B$4</c:f>
              <c:numCache>
                <c:formatCode>General</c:formatCode>
                <c:ptCount val="3"/>
                <c:pt idx="0">
                  <c:v>0</c:v>
                </c:pt>
                <c:pt idx="1">
                  <c:v>23349</c:v>
                </c:pt>
                <c:pt idx="2">
                  <c:v>16957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5-4939-B618-B7772762CCF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92486464"/>
        <c:axId val="2092488544"/>
      </c:barChart>
      <c:catAx>
        <c:axId val="2092486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488544"/>
        <c:crosses val="autoZero"/>
        <c:auto val="1"/>
        <c:lblAlgn val="ctr"/>
        <c:lblOffset val="100"/>
        <c:noMultiLvlLbl val="0"/>
      </c:catAx>
      <c:valAx>
        <c:axId val="2092488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Counts of Record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48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Conversion Funnel 2024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27801742636725502"/>
                  <c:y val="-8.4875562720133283E-17"/>
                </c:manualLayout>
              </c:layout>
              <c:tx>
                <c:rich>
                  <a:bodyPr/>
                  <a:lstStyle/>
                  <a:p>
                    <a:r>
                      <a:rPr lang="en-US"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Not Tracked in Dataset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507916785739425"/>
                      <c:h val="6.420032264629239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2-F010-4F41-9EE6-144A009B1F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Funnel2024!$A$2:$A$4</c:f>
              <c:strCache>
                <c:ptCount val="3"/>
                <c:pt idx="0">
                  <c:v>Leads</c:v>
                </c:pt>
                <c:pt idx="1">
                  <c:v>Orders</c:v>
                </c:pt>
                <c:pt idx="2">
                  <c:v>Settlements</c:v>
                </c:pt>
              </c:strCache>
            </c:strRef>
          </c:cat>
          <c:val>
            <c:numRef>
              <c:f>Funnel2024!$B$2:$B$4</c:f>
              <c:numCache>
                <c:formatCode>General</c:formatCode>
                <c:ptCount val="3"/>
                <c:pt idx="0">
                  <c:v>0</c:v>
                </c:pt>
                <c:pt idx="1">
                  <c:v>23534</c:v>
                </c:pt>
                <c:pt idx="2">
                  <c:v>17029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0-4F41-9EE6-144A009B1FF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08788064"/>
        <c:axId val="694047408"/>
      </c:barChart>
      <c:catAx>
        <c:axId val="40878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047408"/>
        <c:crosses val="autoZero"/>
        <c:auto val="1"/>
        <c:lblAlgn val="ctr"/>
        <c:lblOffset val="100"/>
        <c:noMultiLvlLbl val="0"/>
      </c:catAx>
      <c:valAx>
        <c:axId val="69404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Counts of Record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8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Conversion Funnel 2025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35061111111111115"/>
                  <c:y val="-9.1814456624040512E-1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Not Tracked in Dataset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988888888888887"/>
                      <c:h val="6.4375566788427249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2-176C-44ED-9D73-AE95D35AF7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Funnel2025!$A$2:$A$4</c:f>
              <c:strCache>
                <c:ptCount val="3"/>
                <c:pt idx="0">
                  <c:v>Leads</c:v>
                </c:pt>
                <c:pt idx="1">
                  <c:v>Orders</c:v>
                </c:pt>
                <c:pt idx="2">
                  <c:v>Settlements</c:v>
                </c:pt>
              </c:strCache>
            </c:strRef>
          </c:cat>
          <c:val>
            <c:numRef>
              <c:f>Funnel2025!$B$2:$B$4</c:f>
              <c:numCache>
                <c:formatCode>General</c:formatCode>
                <c:ptCount val="3"/>
                <c:pt idx="0">
                  <c:v>0</c:v>
                </c:pt>
                <c:pt idx="1">
                  <c:v>41307</c:v>
                </c:pt>
                <c:pt idx="2">
                  <c:v>29787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C-44ED-9D73-AE95D35AF7A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032368"/>
        <c:axId val="418034448"/>
      </c:barChart>
      <c:catAx>
        <c:axId val="418032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034448"/>
        <c:crosses val="autoZero"/>
        <c:auto val="1"/>
        <c:lblAlgn val="ctr"/>
        <c:lblOffset val="100"/>
        <c:noMultiLvlLbl val="0"/>
      </c:catAx>
      <c:valAx>
        <c:axId val="41803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Counts of Record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03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14</xdr:col>
      <xdr:colOff>515122</xdr:colOff>
      <xdr:row>20</xdr:row>
      <xdr:rowOff>166124</xdr:rowOff>
    </xdr:to>
    <xdr:pic>
      <xdr:nvPicPr>
        <xdr:cNvPr id="2" name="Picture 1" descr="yearly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90500"/>
          <a:ext cx="4782322" cy="3785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17</xdr:col>
      <xdr:colOff>167653</xdr:colOff>
      <xdr:row>19</xdr:row>
      <xdr:rowOff>164599</xdr:rowOff>
    </xdr:to>
    <xdr:pic>
      <xdr:nvPicPr>
        <xdr:cNvPr id="2" name="Picture 1" descr="monthly202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90500"/>
          <a:ext cx="6263653" cy="35935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17</xdr:col>
      <xdr:colOff>304813</xdr:colOff>
      <xdr:row>19</xdr:row>
      <xdr:rowOff>164599</xdr:rowOff>
    </xdr:to>
    <xdr:pic>
      <xdr:nvPicPr>
        <xdr:cNvPr id="2" name="Picture 1" descr="monthly202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90500"/>
          <a:ext cx="6400813" cy="35935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17</xdr:col>
      <xdr:colOff>323101</xdr:colOff>
      <xdr:row>19</xdr:row>
      <xdr:rowOff>164599</xdr:rowOff>
    </xdr:to>
    <xdr:pic>
      <xdr:nvPicPr>
        <xdr:cNvPr id="2" name="Picture 1" descr="monthly2025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90500"/>
          <a:ext cx="6419101" cy="35935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16</xdr:col>
      <xdr:colOff>530364</xdr:colOff>
      <xdr:row>24</xdr:row>
      <xdr:rowOff>108213</xdr:rowOff>
    </xdr:to>
    <xdr:pic>
      <xdr:nvPicPr>
        <xdr:cNvPr id="2" name="Picture 1" descr="payment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90500"/>
          <a:ext cx="6016764" cy="44897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548640</xdr:colOff>
      <xdr:row>1</xdr:row>
      <xdr:rowOff>91440</xdr:rowOff>
    </xdr:from>
    <xdr:to>
      <xdr:col>23</xdr:col>
      <xdr:colOff>185939</xdr:colOff>
      <xdr:row>19</xdr:row>
      <xdr:rowOff>71635</xdr:rowOff>
    </xdr:to>
    <xdr:pic>
      <xdr:nvPicPr>
        <xdr:cNvPr id="2" name="Picture 1" descr="funnel2023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3440" y="274320"/>
          <a:ext cx="5733299" cy="3272035"/>
        </a:xfrm>
        <a:prstGeom prst="rect">
          <a:avLst/>
        </a:prstGeom>
      </xdr:spPr>
    </xdr:pic>
    <xdr:clientData/>
  </xdr:twoCellAnchor>
  <xdr:twoCellAnchor>
    <xdr:from>
      <xdr:col>4</xdr:col>
      <xdr:colOff>579120</xdr:colOff>
      <xdr:row>2</xdr:row>
      <xdr:rowOff>57150</xdr:rowOff>
    </xdr:from>
    <xdr:to>
      <xdr:col>12</xdr:col>
      <xdr:colOff>274320</xdr:colOff>
      <xdr:row>17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9A836C-04F4-44A2-AD16-1F18A99C6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0.64667</cdr:x>
      <cdr:y>0.32917</cdr:y>
    </cdr:from>
    <cdr:to>
      <cdr:x>0.93667</cdr:x>
      <cdr:y>0.43472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53F55B1-8292-40F7-88C4-6A1D790076DE}"/>
            </a:ext>
          </a:extLst>
        </cdr:cNvPr>
        <cdr:cNvSpPr txBox="1"/>
      </cdr:nvSpPr>
      <cdr:spPr>
        <a:xfrm xmlns:a="http://schemas.openxmlformats.org/drawingml/2006/main">
          <a:off x="2956560" y="902970"/>
          <a:ext cx="1325880" cy="289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72.62 % convergence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381000</xdr:colOff>
      <xdr:row>2</xdr:row>
      <xdr:rowOff>30480</xdr:rowOff>
    </xdr:from>
    <xdr:to>
      <xdr:col>25</xdr:col>
      <xdr:colOff>11</xdr:colOff>
      <xdr:row>20</xdr:row>
      <xdr:rowOff>10675</xdr:rowOff>
    </xdr:to>
    <xdr:pic>
      <xdr:nvPicPr>
        <xdr:cNvPr id="2" name="Picture 1" descr="funnel2024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0" y="396240"/>
          <a:ext cx="5715011" cy="3272035"/>
        </a:xfrm>
        <a:prstGeom prst="rect">
          <a:avLst/>
        </a:prstGeom>
      </xdr:spPr>
    </xdr:pic>
    <xdr:clientData/>
  </xdr:twoCellAnchor>
  <xdr:twoCellAnchor>
    <xdr:from>
      <xdr:col>5</xdr:col>
      <xdr:colOff>396240</xdr:colOff>
      <xdr:row>6</xdr:row>
      <xdr:rowOff>140970</xdr:rowOff>
    </xdr:from>
    <xdr:to>
      <xdr:col>13</xdr:col>
      <xdr:colOff>91440</xdr:colOff>
      <xdr:row>21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D8B71D-FF5E-4400-B2C4-9353A5663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0.67008</cdr:x>
      <cdr:y>0.31922</cdr:y>
    </cdr:from>
    <cdr:to>
      <cdr:x>0.9716</cdr:x>
      <cdr:y>0.39641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27F0DE5-043C-4C84-8F73-94DE83715D5B}"/>
            </a:ext>
          </a:extLst>
        </cdr:cNvPr>
        <cdr:cNvSpPr txBox="1"/>
      </cdr:nvSpPr>
      <cdr:spPr>
        <a:xfrm xmlns:a="http://schemas.openxmlformats.org/drawingml/2006/main">
          <a:off x="3074013" y="883118"/>
          <a:ext cx="1383249" cy="2135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72.36</a:t>
          </a:r>
          <a:r>
            <a:rPr lang="en-US" sz="1100" baseline="0"/>
            <a:t> % conversion</a:t>
          </a:r>
          <a:endParaRPr lang="en-US" sz="11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449580</xdr:colOff>
      <xdr:row>2</xdr:row>
      <xdr:rowOff>114300</xdr:rowOff>
    </xdr:from>
    <xdr:to>
      <xdr:col>24</xdr:col>
      <xdr:colOff>59447</xdr:colOff>
      <xdr:row>20</xdr:row>
      <xdr:rowOff>94495</xdr:rowOff>
    </xdr:to>
    <xdr:pic>
      <xdr:nvPicPr>
        <xdr:cNvPr id="2" name="Picture 1" descr="funnel2025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3980" y="480060"/>
          <a:ext cx="5705867" cy="3272035"/>
        </a:xfrm>
        <a:prstGeom prst="rect">
          <a:avLst/>
        </a:prstGeom>
      </xdr:spPr>
    </xdr:pic>
    <xdr:clientData/>
  </xdr:twoCellAnchor>
  <xdr:twoCellAnchor>
    <xdr:from>
      <xdr:col>5</xdr:col>
      <xdr:colOff>396240</xdr:colOff>
      <xdr:row>6</xdr:row>
      <xdr:rowOff>140970</xdr:rowOff>
    </xdr:from>
    <xdr:to>
      <xdr:col>13</xdr:col>
      <xdr:colOff>91440</xdr:colOff>
      <xdr:row>21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18D944-B963-4563-9987-2EE8D6623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0.67203</cdr:x>
      <cdr:y>0.30984</cdr:y>
    </cdr:from>
    <cdr:to>
      <cdr:x>0.97439</cdr:x>
      <cdr:y>0.38646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B0A19CF-C417-4206-A350-C780D5610AE2}"/>
            </a:ext>
          </a:extLst>
        </cdr:cNvPr>
        <cdr:cNvSpPr txBox="1"/>
      </cdr:nvSpPr>
      <cdr:spPr>
        <a:xfrm xmlns:a="http://schemas.openxmlformats.org/drawingml/2006/main">
          <a:off x="3072524" y="854842"/>
          <a:ext cx="1382395" cy="2113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72.11</a:t>
          </a:r>
          <a:r>
            <a:rPr lang="en-US" sz="1100" baseline="0"/>
            <a:t> % conversion</a:t>
          </a:r>
          <a:endParaRPr lang="en-US" sz="1100"/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13</xdr:col>
      <xdr:colOff>320048</xdr:colOff>
      <xdr:row>15</xdr:row>
      <xdr:rowOff>39629</xdr:rowOff>
    </xdr:to>
    <xdr:pic>
      <xdr:nvPicPr>
        <xdr:cNvPr id="2" name="Picture 1" descr="risk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90500"/>
          <a:ext cx="3977648" cy="27066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1986733131.3699999</v>
      </c>
      <c r="B2">
        <v>1785996887.72</v>
      </c>
      <c r="C2">
        <v>22074.81257077778</v>
      </c>
      <c r="D2">
        <v>72.302222222222227</v>
      </c>
      <c r="E2">
        <v>194097940.44999999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sheetData>
    <row r="1" spans="1:2" x14ac:dyDescent="0.3">
      <c r="A1" t="s">
        <v>6</v>
      </c>
      <c r="B1" t="s">
        <v>5</v>
      </c>
    </row>
    <row r="2" spans="1:2" x14ac:dyDescent="0.3">
      <c r="A2">
        <v>2023</v>
      </c>
      <c r="B2">
        <v>538861241.37</v>
      </c>
    </row>
    <row r="3" spans="1:2" x14ac:dyDescent="0.3">
      <c r="A3">
        <v>2024</v>
      </c>
      <c r="B3">
        <v>525977207.56999999</v>
      </c>
    </row>
    <row r="4" spans="1:2" x14ac:dyDescent="0.3">
      <c r="A4">
        <v>2025</v>
      </c>
      <c r="B4">
        <v>921894682.42999995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4.4" x14ac:dyDescent="0.3"/>
  <sheetData>
    <row r="1" spans="1:2" x14ac:dyDescent="0.3">
      <c r="A1" t="s">
        <v>7</v>
      </c>
      <c r="B1" t="s">
        <v>5</v>
      </c>
    </row>
    <row r="2" spans="1:2" x14ac:dyDescent="0.3">
      <c r="A2">
        <v>1</v>
      </c>
      <c r="B2">
        <v>7834161.7999999998</v>
      </c>
    </row>
    <row r="3" spans="1:2" x14ac:dyDescent="0.3">
      <c r="A3">
        <v>2</v>
      </c>
      <c r="B3">
        <v>19306859.789999999</v>
      </c>
    </row>
    <row r="4" spans="1:2" x14ac:dyDescent="0.3">
      <c r="A4">
        <v>3</v>
      </c>
      <c r="B4">
        <v>34998029.909999996</v>
      </c>
    </row>
    <row r="5" spans="1:2" x14ac:dyDescent="0.3">
      <c r="A5">
        <v>4</v>
      </c>
      <c r="B5">
        <v>42230287.079999998</v>
      </c>
    </row>
    <row r="6" spans="1:2" x14ac:dyDescent="0.3">
      <c r="A6">
        <v>5</v>
      </c>
      <c r="B6">
        <v>51766734.490000002</v>
      </c>
    </row>
    <row r="7" spans="1:2" x14ac:dyDescent="0.3">
      <c r="A7">
        <v>6</v>
      </c>
      <c r="B7">
        <v>53408075.93</v>
      </c>
    </row>
    <row r="8" spans="1:2" x14ac:dyDescent="0.3">
      <c r="A8">
        <v>7</v>
      </c>
      <c r="B8">
        <v>56179083.909999996</v>
      </c>
    </row>
    <row r="9" spans="1:2" x14ac:dyDescent="0.3">
      <c r="A9">
        <v>8</v>
      </c>
      <c r="B9">
        <v>54594315.619999997</v>
      </c>
    </row>
    <row r="10" spans="1:2" x14ac:dyDescent="0.3">
      <c r="A10">
        <v>9</v>
      </c>
      <c r="B10">
        <v>51019920.590000004</v>
      </c>
    </row>
    <row r="11" spans="1:2" x14ac:dyDescent="0.3">
      <c r="A11">
        <v>10</v>
      </c>
      <c r="B11">
        <v>52706895.719999999</v>
      </c>
    </row>
    <row r="12" spans="1:2" x14ac:dyDescent="0.3">
      <c r="A12">
        <v>11</v>
      </c>
      <c r="B12">
        <v>61821338.539999999</v>
      </c>
    </row>
    <row r="13" spans="1:2" x14ac:dyDescent="0.3">
      <c r="A13">
        <v>12</v>
      </c>
      <c r="B13">
        <v>52995537.990000002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4.4" x14ac:dyDescent="0.3"/>
  <sheetData>
    <row r="1" spans="1:2" x14ac:dyDescent="0.3">
      <c r="A1" t="s">
        <v>7</v>
      </c>
      <c r="B1" t="s">
        <v>5</v>
      </c>
    </row>
    <row r="2" spans="1:2" x14ac:dyDescent="0.3">
      <c r="A2">
        <v>1</v>
      </c>
      <c r="B2">
        <v>47201496.189999998</v>
      </c>
    </row>
    <row r="3" spans="1:2" x14ac:dyDescent="0.3">
      <c r="A3">
        <v>2</v>
      </c>
      <c r="B3">
        <v>40647158.82</v>
      </c>
    </row>
    <row r="4" spans="1:2" x14ac:dyDescent="0.3">
      <c r="A4">
        <v>3</v>
      </c>
      <c r="B4">
        <v>41976888.240000002</v>
      </c>
    </row>
    <row r="5" spans="1:2" x14ac:dyDescent="0.3">
      <c r="A5">
        <v>4</v>
      </c>
      <c r="B5">
        <v>42350444</v>
      </c>
    </row>
    <row r="6" spans="1:2" x14ac:dyDescent="0.3">
      <c r="A6">
        <v>5</v>
      </c>
      <c r="B6">
        <v>37425823.049999997</v>
      </c>
    </row>
    <row r="7" spans="1:2" x14ac:dyDescent="0.3">
      <c r="A7">
        <v>6</v>
      </c>
      <c r="B7">
        <v>36881165.43</v>
      </c>
    </row>
    <row r="8" spans="1:2" x14ac:dyDescent="0.3">
      <c r="A8">
        <v>7</v>
      </c>
      <c r="B8">
        <v>40465825.600000001</v>
      </c>
    </row>
    <row r="9" spans="1:2" x14ac:dyDescent="0.3">
      <c r="A9">
        <v>8</v>
      </c>
      <c r="B9">
        <v>40885547.590000004</v>
      </c>
    </row>
    <row r="10" spans="1:2" x14ac:dyDescent="0.3">
      <c r="A10">
        <v>9</v>
      </c>
      <c r="B10">
        <v>38918574.219999999</v>
      </c>
    </row>
    <row r="11" spans="1:2" x14ac:dyDescent="0.3">
      <c r="A11">
        <v>10</v>
      </c>
      <c r="B11">
        <v>50431463.170000002</v>
      </c>
    </row>
    <row r="12" spans="1:2" x14ac:dyDescent="0.3">
      <c r="A12">
        <v>11</v>
      </c>
      <c r="B12">
        <v>57298651.799999997</v>
      </c>
    </row>
    <row r="13" spans="1:2" x14ac:dyDescent="0.3">
      <c r="A13">
        <v>12</v>
      </c>
      <c r="B13">
        <v>51494169.460000001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4.4" x14ac:dyDescent="0.3"/>
  <sheetData>
    <row r="1" spans="1:2" x14ac:dyDescent="0.3">
      <c r="A1" t="s">
        <v>7</v>
      </c>
      <c r="B1" t="s">
        <v>5</v>
      </c>
    </row>
    <row r="2" spans="1:2" x14ac:dyDescent="0.3">
      <c r="A2">
        <v>1</v>
      </c>
      <c r="B2">
        <v>53748404.469999999</v>
      </c>
    </row>
    <row r="3" spans="1:2" x14ac:dyDescent="0.3">
      <c r="A3">
        <v>2</v>
      </c>
      <c r="B3">
        <v>44086244.560000002</v>
      </c>
    </row>
    <row r="4" spans="1:2" x14ac:dyDescent="0.3">
      <c r="A4">
        <v>3</v>
      </c>
      <c r="B4">
        <v>57549594.32</v>
      </c>
    </row>
    <row r="5" spans="1:2" x14ac:dyDescent="0.3">
      <c r="A5">
        <v>4</v>
      </c>
      <c r="B5">
        <v>48242728.289999999</v>
      </c>
    </row>
    <row r="6" spans="1:2" x14ac:dyDescent="0.3">
      <c r="A6">
        <v>5</v>
      </c>
      <c r="B6">
        <v>53828933.359999999</v>
      </c>
    </row>
    <row r="7" spans="1:2" x14ac:dyDescent="0.3">
      <c r="A7">
        <v>6</v>
      </c>
      <c r="B7">
        <v>53848604.189999998</v>
      </c>
    </row>
    <row r="8" spans="1:2" x14ac:dyDescent="0.3">
      <c r="A8">
        <v>7</v>
      </c>
      <c r="B8">
        <v>59679812.649999999</v>
      </c>
    </row>
    <row r="9" spans="1:2" x14ac:dyDescent="0.3">
      <c r="A9">
        <v>8</v>
      </c>
      <c r="B9">
        <v>65633092.960000001</v>
      </c>
    </row>
    <row r="10" spans="1:2" x14ac:dyDescent="0.3">
      <c r="A10">
        <v>9</v>
      </c>
      <c r="B10">
        <v>64274087.759999998</v>
      </c>
    </row>
    <row r="11" spans="1:2" x14ac:dyDescent="0.3">
      <c r="A11">
        <v>10</v>
      </c>
      <c r="B11">
        <v>111393787.04000001</v>
      </c>
    </row>
    <row r="12" spans="1:2" x14ac:dyDescent="0.3">
      <c r="A12">
        <v>11</v>
      </c>
      <c r="B12">
        <v>119575832.95999999</v>
      </c>
    </row>
    <row r="13" spans="1:2" x14ac:dyDescent="0.3">
      <c r="A13">
        <v>12</v>
      </c>
      <c r="B13">
        <v>190033559.87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"/>
  <sheetViews>
    <sheetView workbookViewId="0"/>
  </sheetViews>
  <sheetFormatPr defaultRowHeight="14.4" x14ac:dyDescent="0.3"/>
  <sheetData>
    <row r="1" spans="1:12" x14ac:dyDescent="0.3">
      <c r="A1" t="s">
        <v>6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2" x14ac:dyDescent="0.3">
      <c r="A2">
        <v>2023</v>
      </c>
      <c r="B2">
        <v>2522978.42</v>
      </c>
      <c r="C2">
        <v>54929995.590000004</v>
      </c>
      <c r="D2">
        <v>50335048.020000003</v>
      </c>
      <c r="E2">
        <v>40731952.640000001</v>
      </c>
      <c r="F2">
        <v>11513368.460000001</v>
      </c>
      <c r="G2">
        <v>3612117.84</v>
      </c>
      <c r="H2">
        <v>26614500.390000001</v>
      </c>
      <c r="I2">
        <v>5912283.8899999997</v>
      </c>
      <c r="J2">
        <v>217746876.78999999</v>
      </c>
      <c r="K2">
        <v>102754230.75</v>
      </c>
      <c r="L2">
        <v>22187888.579999998</v>
      </c>
    </row>
    <row r="3" spans="1:12" x14ac:dyDescent="0.3">
      <c r="A3">
        <v>2024</v>
      </c>
      <c r="B3">
        <v>3213311.15</v>
      </c>
      <c r="C3">
        <v>53546521.909999996</v>
      </c>
      <c r="D3">
        <v>47726451.229999997</v>
      </c>
      <c r="E3">
        <v>40726948.43</v>
      </c>
      <c r="F3">
        <v>12751432.560000001</v>
      </c>
      <c r="G3">
        <v>2839557.48</v>
      </c>
      <c r="H3">
        <v>25872014.719999999</v>
      </c>
      <c r="I3">
        <v>4814392.6399999997</v>
      </c>
      <c r="J3">
        <v>209095733.75999999</v>
      </c>
      <c r="K3">
        <v>105469803.14</v>
      </c>
      <c r="L3">
        <v>19921040.550000001</v>
      </c>
    </row>
    <row r="4" spans="1:12" x14ac:dyDescent="0.3">
      <c r="A4">
        <v>2025</v>
      </c>
      <c r="B4">
        <v>5478047.6299999999</v>
      </c>
      <c r="C4">
        <v>90434880.810000002</v>
      </c>
      <c r="D4">
        <v>82040128.150000006</v>
      </c>
      <c r="E4">
        <v>69332806.030000001</v>
      </c>
      <c r="F4">
        <v>18384469.859999999</v>
      </c>
      <c r="G4">
        <v>5446830.21</v>
      </c>
      <c r="H4">
        <v>50218254.609999999</v>
      </c>
      <c r="I4">
        <v>8880884.0800000001</v>
      </c>
      <c r="J4">
        <v>381150906.30000001</v>
      </c>
      <c r="K4">
        <v>175216957.78999999</v>
      </c>
      <c r="L4">
        <v>35310516.960000001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topLeftCell="B1" workbookViewId="0">
      <selection activeCell="Q22" sqref="Q22"/>
    </sheetView>
  </sheetViews>
  <sheetFormatPr defaultRowHeight="14.4" x14ac:dyDescent="0.3"/>
  <sheetData>
    <row r="1" spans="1:2" x14ac:dyDescent="0.3">
      <c r="A1" t="s">
        <v>19</v>
      </c>
      <c r="B1" t="s">
        <v>20</v>
      </c>
    </row>
    <row r="2" spans="1:2" x14ac:dyDescent="0.3">
      <c r="A2" t="s">
        <v>21</v>
      </c>
      <c r="B2">
        <v>0</v>
      </c>
    </row>
    <row r="3" spans="1:2" x14ac:dyDescent="0.3">
      <c r="A3" t="s">
        <v>22</v>
      </c>
      <c r="B3">
        <v>23349</v>
      </c>
    </row>
    <row r="4" spans="1:2" x14ac:dyDescent="0.3">
      <c r="A4" t="s">
        <v>23</v>
      </c>
      <c r="B4">
        <v>16957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zoomScale="96" workbookViewId="0">
      <selection activeCell="A2" sqref="A2:B4"/>
    </sheetView>
  </sheetViews>
  <sheetFormatPr defaultRowHeight="14.4" x14ac:dyDescent="0.3"/>
  <sheetData>
    <row r="1" spans="1:2" x14ac:dyDescent="0.3">
      <c r="A1" t="s">
        <v>19</v>
      </c>
      <c r="B1" t="s">
        <v>20</v>
      </c>
    </row>
    <row r="2" spans="1:2" x14ac:dyDescent="0.3">
      <c r="A2" t="s">
        <v>21</v>
      </c>
      <c r="B2">
        <v>0</v>
      </c>
    </row>
    <row r="3" spans="1:2" x14ac:dyDescent="0.3">
      <c r="A3" t="s">
        <v>22</v>
      </c>
      <c r="B3">
        <v>23534</v>
      </c>
    </row>
    <row r="4" spans="1:2" x14ac:dyDescent="0.3">
      <c r="A4" t="s">
        <v>23</v>
      </c>
      <c r="B4">
        <v>17029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tabSelected="1" topLeftCell="C7" zoomScale="145" zoomScaleNormal="145" workbookViewId="0">
      <selection activeCell="O10" sqref="O10"/>
    </sheetView>
  </sheetViews>
  <sheetFormatPr defaultRowHeight="14.4" x14ac:dyDescent="0.3"/>
  <sheetData>
    <row r="1" spans="1:2" x14ac:dyDescent="0.3">
      <c r="A1" t="s">
        <v>19</v>
      </c>
      <c r="B1" t="s">
        <v>20</v>
      </c>
    </row>
    <row r="2" spans="1:2" x14ac:dyDescent="0.3">
      <c r="A2" t="s">
        <v>21</v>
      </c>
      <c r="B2">
        <v>0</v>
      </c>
    </row>
    <row r="3" spans="1:2" x14ac:dyDescent="0.3">
      <c r="A3" t="s">
        <v>22</v>
      </c>
      <c r="B3">
        <v>41307</v>
      </c>
    </row>
    <row r="4" spans="1:2" x14ac:dyDescent="0.3">
      <c r="A4" t="s">
        <v>23</v>
      </c>
      <c r="B4">
        <v>29787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/>
  </sheetViews>
  <sheetFormatPr defaultRowHeight="14.4" x14ac:dyDescent="0.3"/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9.7697037103395488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"/>
  <sheetViews>
    <sheetView workbookViewId="0"/>
  </sheetViews>
  <sheetFormatPr defaultRowHeight="14.4" x14ac:dyDescent="0.3"/>
  <sheetData>
    <row r="1" spans="1:5" x14ac:dyDescent="0.3">
      <c r="A1" t="s">
        <v>31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3">
      <c r="A2" t="s">
        <v>8</v>
      </c>
      <c r="B2">
        <v>11214337.199999999</v>
      </c>
      <c r="C2">
        <v>511</v>
      </c>
      <c r="D2">
        <v>21945.86536203522</v>
      </c>
      <c r="E2">
        <v>0.56446117613526092</v>
      </c>
    </row>
    <row r="3" spans="1:5" x14ac:dyDescent="0.3">
      <c r="A3" t="s">
        <v>9</v>
      </c>
      <c r="B3">
        <v>198911398.31</v>
      </c>
      <c r="C3">
        <v>9338</v>
      </c>
      <c r="D3">
        <v>21301.2848907689</v>
      </c>
      <c r="E3">
        <v>10.011983752082291</v>
      </c>
    </row>
    <row r="4" spans="1:5" x14ac:dyDescent="0.3">
      <c r="A4" t="s">
        <v>10</v>
      </c>
      <c r="B4">
        <v>180101627.40000001</v>
      </c>
      <c r="C4">
        <v>8128</v>
      </c>
      <c r="D4">
        <v>22158.172662401579</v>
      </c>
      <c r="E4">
        <v>9.0652148774408658</v>
      </c>
    </row>
    <row r="5" spans="1:5" x14ac:dyDescent="0.3">
      <c r="A5" t="s">
        <v>11</v>
      </c>
      <c r="B5">
        <v>150791707.09999999</v>
      </c>
      <c r="C5">
        <v>6889</v>
      </c>
      <c r="D5">
        <v>21888.765727972132</v>
      </c>
      <c r="E5">
        <v>7.589932674853916</v>
      </c>
    </row>
    <row r="6" spans="1:5" x14ac:dyDescent="0.3">
      <c r="A6" t="s">
        <v>12</v>
      </c>
      <c r="B6">
        <v>42649270.880000003</v>
      </c>
      <c r="C6">
        <v>2111</v>
      </c>
      <c r="D6">
        <v>20203.349540502131</v>
      </c>
      <c r="E6">
        <v>2.1467035610661092</v>
      </c>
    </row>
    <row r="7" spans="1:5" x14ac:dyDescent="0.3">
      <c r="A7" t="s">
        <v>13</v>
      </c>
      <c r="B7">
        <v>11898505.529999999</v>
      </c>
      <c r="C7">
        <v>567</v>
      </c>
      <c r="D7">
        <v>20985.018571428569</v>
      </c>
      <c r="E7">
        <v>0.59889802722497998</v>
      </c>
    </row>
    <row r="8" spans="1:5" x14ac:dyDescent="0.3">
      <c r="A8" t="s">
        <v>14</v>
      </c>
      <c r="B8">
        <v>102704769.72</v>
      </c>
      <c r="C8">
        <v>4474</v>
      </c>
      <c r="D8">
        <v>22955.916343316941</v>
      </c>
      <c r="E8">
        <v>5.1695302251881934</v>
      </c>
    </row>
    <row r="9" spans="1:5" x14ac:dyDescent="0.3">
      <c r="A9" t="s">
        <v>15</v>
      </c>
      <c r="B9">
        <v>19607560.609999999</v>
      </c>
      <c r="C9">
        <v>981</v>
      </c>
      <c r="D9">
        <v>19987.31968399592</v>
      </c>
      <c r="E9">
        <v>0.98692473087611587</v>
      </c>
    </row>
    <row r="10" spans="1:5" x14ac:dyDescent="0.3">
      <c r="A10" t="s">
        <v>16</v>
      </c>
      <c r="B10">
        <v>807993516.85000002</v>
      </c>
      <c r="C10">
        <v>36028</v>
      </c>
      <c r="D10">
        <v>22426.821273731541</v>
      </c>
      <c r="E10">
        <v>40.669453994197433</v>
      </c>
    </row>
    <row r="11" spans="1:5" x14ac:dyDescent="0.3">
      <c r="A11" t="s">
        <v>17</v>
      </c>
      <c r="B11">
        <v>383440991.68000001</v>
      </c>
      <c r="C11">
        <v>17283</v>
      </c>
      <c r="D11">
        <v>22186.020464039811</v>
      </c>
      <c r="E11">
        <v>19.300075366216351</v>
      </c>
    </row>
    <row r="12" spans="1:5" x14ac:dyDescent="0.3">
      <c r="A12" t="s">
        <v>18</v>
      </c>
      <c r="B12">
        <v>77419446.090000004</v>
      </c>
      <c r="C12">
        <v>3690</v>
      </c>
      <c r="D12">
        <v>20980.879699186989</v>
      </c>
      <c r="E12">
        <v>3.8968216147185082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defaultRowHeight="14.4" x14ac:dyDescent="0.3"/>
  <sheetData>
    <row r="1" spans="1:1" x14ac:dyDescent="0.3">
      <c r="A1" t="s">
        <v>32</v>
      </c>
    </row>
    <row r="2" spans="1:1" x14ac:dyDescent="0.3">
      <c r="A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2"/>
  <sheetViews>
    <sheetView workbookViewId="0"/>
  </sheetViews>
  <sheetFormatPr defaultRowHeight="14.4" x14ac:dyDescent="0.3"/>
  <sheetData>
    <row r="1" spans="1:1" x14ac:dyDescent="0.3">
      <c r="A1" t="s">
        <v>33</v>
      </c>
    </row>
    <row r="2" spans="1:1" x14ac:dyDescent="0.3">
      <c r="A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"/>
  <sheetViews>
    <sheetView workbookViewId="0"/>
  </sheetViews>
  <sheetFormatPr defaultRowHeight="14.4" x14ac:dyDescent="0.3"/>
  <sheetData>
    <row r="1" spans="1:1" x14ac:dyDescent="0.3">
      <c r="A1" t="s">
        <v>34</v>
      </c>
    </row>
    <row r="2" spans="1:1" x14ac:dyDescent="0.3">
      <c r="A2">
        <v>4500000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6"/>
  <sheetViews>
    <sheetView workbookViewId="0"/>
  </sheetViews>
  <sheetFormatPr defaultRowHeight="14.4" x14ac:dyDescent="0.3"/>
  <sheetData>
    <row r="1" spans="1:4" x14ac:dyDescent="0.3">
      <c r="A1" t="s">
        <v>24</v>
      </c>
      <c r="B1" t="s">
        <v>35</v>
      </c>
      <c r="C1" t="s">
        <v>36</v>
      </c>
      <c r="D1" t="s">
        <v>37</v>
      </c>
    </row>
    <row r="2" spans="1:4" x14ac:dyDescent="0.3">
      <c r="A2" t="s">
        <v>38</v>
      </c>
      <c r="B2">
        <v>28500000</v>
      </c>
      <c r="C2">
        <v>51100000</v>
      </c>
      <c r="D2">
        <v>72400000</v>
      </c>
    </row>
    <row r="3" spans="1:4" x14ac:dyDescent="0.3">
      <c r="A3" t="s">
        <v>39</v>
      </c>
      <c r="B3">
        <v>9800000</v>
      </c>
      <c r="C3">
        <v>14200000</v>
      </c>
      <c r="D3">
        <v>18500000</v>
      </c>
    </row>
    <row r="4" spans="1:4" x14ac:dyDescent="0.3">
      <c r="A4" t="s">
        <v>40</v>
      </c>
      <c r="B4">
        <v>-6000000</v>
      </c>
      <c r="C4">
        <v>-2500000</v>
      </c>
      <c r="D4">
        <v>-2500000</v>
      </c>
    </row>
    <row r="5" spans="1:4" x14ac:dyDescent="0.3">
      <c r="A5" t="s">
        <v>41</v>
      </c>
      <c r="B5">
        <v>32300000</v>
      </c>
      <c r="C5">
        <v>62800000</v>
      </c>
      <c r="D5">
        <v>88400000</v>
      </c>
    </row>
    <row r="6" spans="1:4" x14ac:dyDescent="0.3">
      <c r="A6" t="s">
        <v>42</v>
      </c>
      <c r="B6">
        <v>538</v>
      </c>
      <c r="C6">
        <v>738</v>
      </c>
      <c r="D6">
        <v>822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"/>
  <sheetViews>
    <sheetView workbookViewId="0"/>
  </sheetViews>
  <sheetFormatPr defaultRowHeight="14.4" x14ac:dyDescent="0.3"/>
  <sheetData>
    <row r="1" spans="1:3" x14ac:dyDescent="0.3">
      <c r="A1" t="s">
        <v>43</v>
      </c>
      <c r="B1" t="s">
        <v>44</v>
      </c>
      <c r="C1" t="s">
        <v>45</v>
      </c>
    </row>
    <row r="2" spans="1:3" x14ac:dyDescent="0.3">
      <c r="A2" t="s">
        <v>46</v>
      </c>
      <c r="B2" t="s">
        <v>48</v>
      </c>
      <c r="C2" t="s">
        <v>49</v>
      </c>
    </row>
    <row r="3" spans="1:3" x14ac:dyDescent="0.3">
      <c r="A3" t="s">
        <v>33</v>
      </c>
      <c r="B3" t="s">
        <v>49</v>
      </c>
      <c r="C3" t="s">
        <v>50</v>
      </c>
    </row>
    <row r="4" spans="1:3" x14ac:dyDescent="0.3">
      <c r="A4" t="s">
        <v>47</v>
      </c>
      <c r="B4" t="s">
        <v>50</v>
      </c>
      <c r="C4" t="s">
        <v>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/>
  </sheetViews>
  <sheetFormatPr defaultRowHeight="14.4" x14ac:dyDescent="0.3"/>
  <sheetData>
    <row r="1" spans="1:2" x14ac:dyDescent="0.3">
      <c r="A1" t="s">
        <v>52</v>
      </c>
      <c r="B1" t="s">
        <v>53</v>
      </c>
    </row>
    <row r="2" spans="1:2" x14ac:dyDescent="0.3">
      <c r="A2" t="s">
        <v>54</v>
      </c>
      <c r="B2" t="s">
        <v>57</v>
      </c>
    </row>
    <row r="3" spans="1:2" x14ac:dyDescent="0.3">
      <c r="A3" t="s">
        <v>55</v>
      </c>
      <c r="B3" t="s">
        <v>58</v>
      </c>
    </row>
    <row r="4" spans="1:2" x14ac:dyDescent="0.3">
      <c r="A4" t="s">
        <v>56</v>
      </c>
      <c r="B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KPIs</vt:lpstr>
      <vt:lpstr>YearlyRevenue</vt:lpstr>
      <vt:lpstr>Monthly2023</vt:lpstr>
      <vt:lpstr>Monthly2024</vt:lpstr>
      <vt:lpstr>Monthly2025</vt:lpstr>
      <vt:lpstr>PaymentMethods</vt:lpstr>
      <vt:lpstr>Funnel2023</vt:lpstr>
      <vt:lpstr>Funnel2024</vt:lpstr>
      <vt:lpstr>Funnel2025</vt:lpstr>
      <vt:lpstr>Risk</vt:lpstr>
      <vt:lpstr>ChannelBreakdown</vt:lpstr>
      <vt:lpstr>UPISavings</vt:lpstr>
      <vt:lpstr>CODMitigation</vt:lpstr>
      <vt:lpstr>FeeRecovery</vt:lpstr>
      <vt:lpstr>ROIProjection</vt:lpstr>
      <vt:lpstr>Roadmap</vt:lpstr>
      <vt:lpstr>RiskPlan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Aakash Rai</cp:lastModifiedBy>
  <dcterms:created xsi:type="dcterms:W3CDTF">2026-09-18T13:48:52Z</dcterms:created>
  <dcterms:modified xsi:type="dcterms:W3CDTF">2026-09-18T14:48:56Z</dcterms:modified>
</cp:coreProperties>
</file>